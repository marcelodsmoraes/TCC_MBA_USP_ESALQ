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01cf12d9718dab5/Desktop/TCC/04_Application/Model/"/>
    </mc:Choice>
  </mc:AlternateContent>
  <xr:revisionPtr revIDLastSave="2" documentId="14_{BD9409FE-F0EA-4387-AEE8-A7C7FB008CA8}" xr6:coauthVersionLast="47" xr6:coauthVersionMax="47" xr10:uidLastSave="{7D3C3C4D-8A04-4267-86B1-CB742F528490}"/>
  <bookViews>
    <workbookView xWindow="-108" yWindow="-108" windowWidth="30936" windowHeight="12456" xr2:uid="{6CA691AA-3B98-4A66-BDC2-60AFBD377526}"/>
  </bookViews>
  <sheets>
    <sheet name="RawData" sheetId="4" r:id="rId1"/>
    <sheet name="NormalMatriz" sheetId="5" r:id="rId2"/>
    <sheet name="Export" sheetId="6" r:id="rId3"/>
    <sheet name="AHPG_Table" sheetId="3" state="hidden" r:id="rId4"/>
  </sheets>
  <definedNames>
    <definedName name="ExternalData_1" localSheetId="0" hidden="1">'RawData'!$A$1:$O$2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Clube_Data_32242f4c-b056-41e5-bcf2-bfedbff126e0" name="Clube_Data" connection="Query - Clube_Data"/>
          <x15:modelTable id="Fiis_Data_e84fc42f-32c2-4c91-8a06-ec5124b6cfec" name="Fiis_Data" connection="Query - Fiis_Data"/>
          <x15:modelTable id="FundsExplorer_Data_038a444f-568f-4c46-87fc-c3e332cb9f57" name="FundsExplorer_Data" connection="Query - FundsExplorer_Data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6" l="1"/>
  <c r="C2" i="6"/>
  <c r="D2" i="6"/>
  <c r="E2" i="6"/>
  <c r="F2" i="6"/>
  <c r="G2" i="6"/>
  <c r="H2" i="6"/>
  <c r="I2" i="6"/>
  <c r="J2" i="6"/>
  <c r="K2" i="6"/>
  <c r="L2" i="6"/>
  <c r="M2" i="6"/>
  <c r="N2" i="6"/>
  <c r="O2" i="6"/>
  <c r="A2" i="6"/>
  <c r="A2" i="5"/>
  <c r="C2" i="5"/>
  <c r="D2" i="5"/>
  <c r="E2" i="5"/>
  <c r="F2" i="5"/>
  <c r="G2" i="5"/>
  <c r="H2" i="5"/>
  <c r="I2" i="5"/>
  <c r="J2" i="5"/>
  <c r="K2" i="5"/>
  <c r="L2" i="5"/>
  <c r="M2" i="5"/>
  <c r="N2" i="5"/>
  <c r="O2" i="5"/>
  <c r="B2" i="5"/>
  <c r="R2" i="4"/>
  <c r="R1" i="4"/>
  <c r="F2" i="3" l="1"/>
  <c r="D3" i="3"/>
  <c r="M2" i="3"/>
  <c r="K3" i="3"/>
  <c r="E3" i="3"/>
  <c r="G2" i="3"/>
  <c r="B2" i="3"/>
  <c r="J2" i="3"/>
  <c r="D2" i="3"/>
  <c r="L2" i="3"/>
  <c r="N3" i="3"/>
  <c r="H3" i="3"/>
  <c r="F3" i="3"/>
  <c r="K2" i="3"/>
  <c r="B3" i="3"/>
  <c r="E2" i="3"/>
  <c r="L3" i="3"/>
  <c r="N2" i="3"/>
  <c r="J3" i="3"/>
  <c r="O2" i="3"/>
  <c r="I2" i="3"/>
  <c r="C2" i="3"/>
  <c r="H2" i="3"/>
  <c r="O3" i="3"/>
  <c r="C3" i="3"/>
  <c r="I3" i="3"/>
  <c r="M3" i="3"/>
  <c r="G3" i="3"/>
  <c r="F4" i="3" l="1"/>
  <c r="H4" i="3"/>
  <c r="G4" i="3"/>
  <c r="M4" i="3"/>
  <c r="J4" i="3"/>
  <c r="D4" i="3"/>
  <c r="B4" i="3"/>
  <c r="E4" i="3"/>
  <c r="K4" i="3"/>
  <c r="N4" i="3"/>
  <c r="C4" i="3"/>
  <c r="O4" i="3"/>
  <c r="I4" i="3"/>
  <c r="L4" i="3"/>
  <c r="I5" i="3" l="1"/>
  <c r="B5" i="3"/>
  <c r="G5" i="3"/>
  <c r="F5" i="3"/>
  <c r="M5" i="3"/>
  <c r="L5" i="3"/>
  <c r="J5" i="3"/>
  <c r="E5" i="3"/>
  <c r="K5" i="3"/>
  <c r="C5" i="3"/>
  <c r="D5" i="3"/>
  <c r="N5" i="3"/>
  <c r="H5" i="3"/>
  <c r="O5" i="3"/>
  <c r="P2" i="6" l="1"/>
  <c r="Q2" i="6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6142BAF-CFA0-490C-8978-079C0CB804D3}" name="Query - Clube_Data" description="Connection to the 'Clube_Data' query in the workbook." type="100" refreshedVersion="8" minRefreshableVersion="5">
    <extLst>
      <ext xmlns:x15="http://schemas.microsoft.com/office/spreadsheetml/2010/11/main" uri="{DE250136-89BD-433C-8126-D09CA5730AF9}">
        <x15:connection id="85e299e3-fd4e-43c4-aed9-d58638acc98f"/>
      </ext>
    </extLst>
  </connection>
  <connection id="2" xr16:uid="{56726772-37DC-49E8-B595-AAC52C006FEC}" name="Query - Fiis_Data" description="Connection to the 'Fiis_Data' query in the workbook." type="100" refreshedVersion="8" minRefreshableVersion="5">
    <extLst>
      <ext xmlns:x15="http://schemas.microsoft.com/office/spreadsheetml/2010/11/main" uri="{DE250136-89BD-433C-8126-D09CA5730AF9}">
        <x15:connection id="8f11442f-72c8-4d0a-921d-c6e5c3ed9b31"/>
      </ext>
    </extLst>
  </connection>
  <connection id="3" xr16:uid="{79E3D5A4-C02F-41AF-B631-6456B4FFFF60}" name="Query - FundsExplorer_Data" description="Connection to the 'FundsExplorer_Data' query in the workbook." type="100" refreshedVersion="8" minRefreshableVersion="5">
    <extLst>
      <ext xmlns:x15="http://schemas.microsoft.com/office/spreadsheetml/2010/11/main" uri="{DE250136-89BD-433C-8126-D09CA5730AF9}">
        <x15:connection id="4f4554f3-d967-4387-98af-4c2bb1e82649"/>
      </ext>
    </extLst>
  </connection>
  <connection id="4" xr16:uid="{874E0F8F-8D4F-4BB2-AB28-C2F67C269DF9}" keepAlive="1" name="Query - RawData" description="Connection to the 'RawData' query in the workbook." type="5" refreshedVersion="8" saveData="1">
    <dbPr connection="Provider=Microsoft.Mashup.OleDb.1;Data Source=$Workbook$;Location=RawData;Extended Properties=&quot;&quot;" command="SELECT * FROM [RawData]"/>
  </connection>
  <connection id="5" xr16:uid="{78FA816C-DAB5-4382-BC70-2E488E4DDD77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<sst xmlns="http://schemas.openxmlformats.org/spreadsheetml/2006/main" count="69" uniqueCount="24">
  <si>
    <t>Ticker</t>
  </si>
  <si>
    <t>P/VPA</t>
  </si>
  <si>
    <t>Dividendo</t>
  </si>
  <si>
    <t>DY Ano</t>
  </si>
  <si>
    <t>Liquidez Diária</t>
  </si>
  <si>
    <t>AFHI11</t>
  </si>
  <si>
    <t>AHP-G</t>
  </si>
  <si>
    <t>RANK</t>
  </si>
  <si>
    <t>Média</t>
  </si>
  <si>
    <t>Desvio Padrão</t>
  </si>
  <si>
    <t>Fator Gaussiano</t>
  </si>
  <si>
    <t>Dividend Yield</t>
  </si>
  <si>
    <t>DY (3M) Acumulado</t>
  </si>
  <si>
    <t>DY (6M) Acumulado</t>
  </si>
  <si>
    <t>DY (12M) Acumulado</t>
  </si>
  <si>
    <t>DY (3M) Média</t>
  </si>
  <si>
    <t>DY (6M) Média</t>
  </si>
  <si>
    <t>DY (12M) Média</t>
  </si>
  <si>
    <t>Rentab. Acumulada</t>
  </si>
  <si>
    <t>Patrimônio Líq.</t>
  </si>
  <si>
    <t>Quantidade Ativos</t>
  </si>
  <si>
    <t>Fator Gaussiano Normalizado</t>
  </si>
  <si>
    <t>Critérios:</t>
  </si>
  <si>
    <t>Alternativas: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</si>
</sst>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8"/>
        <bgColor theme="8"/>
      </patternFill>
    </fill>
    <fill>
      <patternFill patternType="solid">
        <fgColor theme="4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/>
      <right/>
      <top/>
      <bottom style="thin">
        <color theme="9" tint="0.39997558519241921"/>
      </bottom>
      <diagonal/>
    </border>
    <border>
      <left/>
      <right style="thin">
        <color theme="9" tint="0.39997558519241921"/>
      </right>
      <top/>
      <bottom style="thin">
        <color theme="9" tint="0.39997558519241921"/>
      </bottom>
      <diagonal/>
    </border>
    <border>
      <left/>
      <right/>
      <top style="thin">
        <color theme="9" tint="0.39997558519241921"/>
      </top>
      <bottom/>
      <diagonal/>
    </border>
    <border>
      <left style="thin">
        <color theme="9" tint="0.3999755851924192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9" tint="0.39997558519241921"/>
      </right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</borders>
  <cellStyleXfs count="1">
    <xf numFmtId="0" fontId="0" fillId="0" borderId="0"/>
  </cellStyleXfs>
  <cellXfs count="19">
    <xf numFmtId="0" fontId="0" fillId="0" borderId="0" xfId="0"/>
    <xf numFmtId="2" fontId="0" fillId="0" borderId="0" xfId="0" applyNumberFormat="1"/>
    <xf numFmtId="164" fontId="0" fillId="0" borderId="0" xfId="0" applyNumberFormat="1"/>
    <xf numFmtId="0" fontId="1" fillId="0" borderId="5" xfId="0" applyFont="1" applyBorder="1"/>
    <xf numFmtId="164" fontId="1" fillId="0" borderId="6" xfId="0" applyNumberFormat="1" applyFont="1" applyBorder="1"/>
    <xf numFmtId="164" fontId="1" fillId="0" borderId="7" xfId="0" applyNumberFormat="1" applyFont="1" applyBorder="1"/>
    <xf numFmtId="0" fontId="1" fillId="2" borderId="2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 vertical="center" wrapText="1"/>
    </xf>
    <xf numFmtId="2" fontId="1" fillId="2" borderId="3" xfId="0" applyNumberFormat="1" applyFont="1" applyFill="1" applyBorder="1" applyAlignment="1">
      <alignment horizontal="center"/>
    </xf>
    <xf numFmtId="2" fontId="1" fillId="2" borderId="4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2" fontId="1" fillId="0" borderId="9" xfId="0" applyNumberFormat="1" applyFont="1" applyBorder="1" applyAlignment="1">
      <alignment horizontal="center" vertical="center" wrapText="1"/>
    </xf>
    <xf numFmtId="0" fontId="1" fillId="0" borderId="11" xfId="0" applyFont="1" applyBorder="1"/>
    <xf numFmtId="2" fontId="1" fillId="0" borderId="8" xfId="0" applyNumberFormat="1" applyFont="1" applyBorder="1"/>
    <xf numFmtId="2" fontId="1" fillId="0" borderId="12" xfId="0" applyNumberFormat="1" applyFont="1" applyBorder="1"/>
    <xf numFmtId="1" fontId="1" fillId="0" borderId="10" xfId="0" applyNumberFormat="1" applyFont="1" applyBorder="1" applyAlignment="1">
      <alignment horizontal="center" vertical="center" wrapText="1"/>
    </xf>
    <xf numFmtId="0" fontId="0" fillId="0" borderId="0" xfId="0" applyAlignment="1">
      <alignment horizontal="right"/>
    </xf>
  </cellXfs>
  <cellStyles count="1">
    <cellStyle name="Normal" xfId="0" builtinId="0"/>
  </cellStyles>
  <dxfs count="3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border diagonalUp="0" diagonalDown="0" outline="0">
        <left style="thin">
          <color theme="9" tint="0.39997558519241921"/>
        </left>
        <right style="thin">
          <color theme="9" tint="0.39997558519241921"/>
        </right>
        <top/>
        <bottom/>
      </border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border outline="0">
        <top style="thin">
          <color theme="9" tint="0.39997558519241921"/>
        </top>
      </border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00"/>
      <fill>
        <patternFill patternType="none">
          <fgColor indexed="64"/>
          <bgColor auto="1"/>
        </patternFill>
      </fill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alcChain" Target="calcChain.xml"/><Relationship Id="rId5" Type="http://schemas.openxmlformats.org/officeDocument/2006/relationships/theme" Target="theme/theme1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powerPivotData" Target="model/item.data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91440</xdr:colOff>
          <xdr:row>0</xdr:row>
          <xdr:rowOff>99060</xdr:rowOff>
        </xdr:from>
        <xdr:to>
          <xdr:col>19</xdr:col>
          <xdr:colOff>281940</xdr:colOff>
          <xdr:row>1</xdr:row>
          <xdr:rowOff>175260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EF7DD25A-40B1-47BB-BA6B-4E124C5250EF}" autoFormatId="16" applyNumberFormats="0" applyBorderFormats="0" applyFontFormats="0" applyPatternFormats="0" applyAlignmentFormats="0" applyWidthHeightFormats="0">
  <queryTableRefresh nextId="16">
    <queryTableFields count="15">
      <queryTableField id="1" name="Ticker" tableColumnId="1"/>
      <queryTableField id="2" name="Liquidez Diária" tableColumnId="2"/>
      <queryTableField id="3" name="Dividendo" tableColumnId="3"/>
      <queryTableField id="4" name="Dividend Yield" tableColumnId="4"/>
      <queryTableField id="5" name="DY (3M) Acumulado" tableColumnId="5"/>
      <queryTableField id="6" name="DY (6M) Acumulado" tableColumnId="6"/>
      <queryTableField id="7" name="DY (12M) Acumulado" tableColumnId="7"/>
      <queryTableField id="8" name="DY (3M) Média" tableColumnId="8"/>
      <queryTableField id="9" name="DY (6M) Média" tableColumnId="9"/>
      <queryTableField id="10" name="DY (12M) Média" tableColumnId="10"/>
      <queryTableField id="11" name="DY Ano" tableColumnId="11"/>
      <queryTableField id="12" name="Rentab. Acumulada" tableColumnId="12"/>
      <queryTableField id="13" name="Patrimônio Líq." tableColumnId="13"/>
      <queryTableField id="14" name="P/VPA" tableColumnId="14"/>
      <queryTableField id="15" name="Quantidade Ativos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696B0E5-649D-47C4-BBC7-998AB2834B41}" name="RawData" displayName="RawData" ref="A1:O2" tableType="queryTable" totalsRowShown="0">
  <autoFilter ref="A1:O2" xr:uid="{3696B0E5-649D-47C4-BBC7-998AB2834B41}"/>
  <tableColumns count="15">
    <tableColumn id="1" xr3:uid="{ED3EA3DC-E61A-455B-B76E-8BE4DBBE4A45}" uniqueName="1" name="Ticker" queryTableFieldId="1" dataDxfId="36"/>
    <tableColumn id="2" xr3:uid="{27B9EA3F-0A8D-43BC-A9E3-CFE77AD3B548}" uniqueName="2" name="Liquidez Diária" queryTableFieldId="2"/>
    <tableColumn id="3" xr3:uid="{C665B785-9282-4B95-8FF2-C6F5CB278F8B}" uniqueName="3" name="Dividendo" queryTableFieldId="3"/>
    <tableColumn id="4" xr3:uid="{A1DFACD4-1DED-4CF7-B87D-2DAB99096273}" uniqueName="4" name="Dividend Yield" queryTableFieldId="4"/>
    <tableColumn id="5" xr3:uid="{428E9FBE-16B7-49D5-B699-797A2243829C}" uniqueName="5" name="DY (3M) Acumulado" queryTableFieldId="5"/>
    <tableColumn id="6" xr3:uid="{E8233773-EEF6-460A-BCFD-83B9788D1CFA}" uniqueName="6" name="DY (6M) Acumulado" queryTableFieldId="6"/>
    <tableColumn id="7" xr3:uid="{794B3294-E195-4257-9015-527ADE63F696}" uniqueName="7" name="DY (12M) Acumulado" queryTableFieldId="7"/>
    <tableColumn id="8" xr3:uid="{0F6B7BCD-149D-4B74-9DF2-A4C763A68B8B}" uniqueName="8" name="DY (3M) Média" queryTableFieldId="8"/>
    <tableColumn id="9" xr3:uid="{EA601F81-8014-4AB1-BACF-365A951252D8}" uniqueName="9" name="DY (6M) Média" queryTableFieldId="9"/>
    <tableColumn id="10" xr3:uid="{1C9BB2DC-9B7E-4D5E-8340-C673F724CAF8}" uniqueName="10" name="DY (12M) Média" queryTableFieldId="10"/>
    <tableColumn id="11" xr3:uid="{71B2F0D7-3B79-413E-AE9D-D5E11B643EAC}" uniqueName="11" name="DY Ano" queryTableFieldId="11"/>
    <tableColumn id="12" xr3:uid="{EE6F5C02-4760-47E4-86E3-954B31AC9D56}" uniqueName="12" name="Rentab. Acumulada" queryTableFieldId="12"/>
    <tableColumn id="13" xr3:uid="{9A5E1DBA-01ED-4B22-99B1-D3452E15FF9A}" uniqueName="13" name="Patrimônio Líq." queryTableFieldId="13"/>
    <tableColumn id="14" xr3:uid="{F1C49881-A8E2-4107-A303-06372B10D78C}" uniqueName="14" name="P/VPA" queryTableFieldId="14"/>
    <tableColumn id="15" xr3:uid="{58737D71-F354-48FE-A341-0A333FC81C17}" uniqueName="15" name="Quantidade Ativos" queryTableFieldId="1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989FEDD-46D7-4623-A7D3-B289ADEA38AC}" name="NormalData" displayName="NormalData" ref="A1:O2" totalsRowShown="0" headerRowDxfId="35" headerRowBorderDxfId="34" tableBorderDxfId="33">
  <autoFilter ref="A1:O2" xr:uid="{E989FEDD-46D7-4623-A7D3-B289ADEA38AC}"/>
  <tableColumns count="15">
    <tableColumn id="1" xr3:uid="{75D4E264-AF1F-45C9-8F63-9996B98BB13F}" name="Ticker">
      <calculatedColumnFormula>RawData[[#This Row],[Ticker]]</calculatedColumnFormula>
    </tableColumn>
    <tableColumn id="2" xr3:uid="{332F62A1-2DFD-4F03-891E-ECB3921751FD}" name="Liquidez Diária" dataDxfId="32">
      <calculatedColumnFormula>RawData[[#This Row],[Liquidez Diária]]/SUM(RawData[Liquidez Diária])</calculatedColumnFormula>
    </tableColumn>
    <tableColumn id="3" xr3:uid="{321B1C3D-BE59-4971-B9EA-2DEA3C1F30B4}" name="Dividendo" dataDxfId="31">
      <calculatedColumnFormula>RawData[[#This Row],[Dividendo]]/SUM(RawData[Dividendo])</calculatedColumnFormula>
    </tableColumn>
    <tableColumn id="4" xr3:uid="{9CBF132A-37ED-4CEB-9C26-13E6A0231060}" name="Dividend Yield" dataDxfId="30">
      <calculatedColumnFormula>RawData[[#This Row],[Dividend Yield]]/SUM(RawData[Dividend Yield])</calculatedColumnFormula>
    </tableColumn>
    <tableColumn id="5" xr3:uid="{83FFE3CC-C552-41E2-93E4-A46D934EAA02}" name="DY (3M) Acumulado" dataDxfId="29">
      <calculatedColumnFormula>RawData[[#This Row],[DY (3M) Acumulado]]/SUM(RawData[DY (3M) Acumulado])</calculatedColumnFormula>
    </tableColumn>
    <tableColumn id="6" xr3:uid="{96D8FB0B-1E4D-4461-8281-E97F243A66EA}" name="DY (6M) Acumulado" dataDxfId="28">
      <calculatedColumnFormula>RawData[[#This Row],[DY (6M) Acumulado]]/SUM(RawData[DY (6M) Acumulado])</calculatedColumnFormula>
    </tableColumn>
    <tableColumn id="7" xr3:uid="{733C35E7-82B4-4412-A534-1EAA40FFFD65}" name="DY (12M) Acumulado" dataDxfId="27">
      <calculatedColumnFormula>RawData[[#This Row],[DY (12M) Acumulado]]/SUM(RawData[DY (12M) Acumulado])</calculatedColumnFormula>
    </tableColumn>
    <tableColumn id="8" xr3:uid="{9B7E82BE-9738-45C5-84A0-5A4F2EDB9DCE}" name="DY (3M) Média" dataDxfId="26">
      <calculatedColumnFormula>RawData[[#This Row],[DY (3M) Média]]/SUM(RawData[DY (3M) Média])</calculatedColumnFormula>
    </tableColumn>
    <tableColumn id="9" xr3:uid="{49998C76-FBD6-4E4E-AB9C-731A02A38AE4}" name="DY (6M) Média" dataDxfId="25">
      <calculatedColumnFormula>RawData[[#This Row],[DY (6M) Média]]/SUM(RawData[DY (6M) Média])</calculatedColumnFormula>
    </tableColumn>
    <tableColumn id="10" xr3:uid="{232D830B-8191-4CAD-A4B0-789F9FC2108E}" name="DY (12M) Média" dataDxfId="24">
      <calculatedColumnFormula>RawData[[#This Row],[DY (12M) Média]]/SUM(RawData[DY (12M) Média])</calculatedColumnFormula>
    </tableColumn>
    <tableColumn id="11" xr3:uid="{B855B25A-9945-4296-8DAA-90E8E2D685EE}" name="DY Ano" dataDxfId="23">
      <calculatedColumnFormula>RawData[[#This Row],[DY Ano]]/SUM(RawData[DY Ano])</calculatedColumnFormula>
    </tableColumn>
    <tableColumn id="12" xr3:uid="{542297BE-B874-42CC-B4F0-266257371DD1}" name="Rentab. Acumulada" dataDxfId="22">
      <calculatedColumnFormula>RawData[[#This Row],[Rentab. Acumulada]]/SUM(RawData[Rentab. Acumulada])</calculatedColumnFormula>
    </tableColumn>
    <tableColumn id="13" xr3:uid="{42C74EC2-4F2D-48D9-87E6-96EB95BC13D5}" name="Patrimônio Líq." dataDxfId="21">
      <calculatedColumnFormula>RawData[[#This Row],[Patrimônio Líq.]]/SUM(RawData[Patrimônio Líq.])</calculatedColumnFormula>
    </tableColumn>
    <tableColumn id="14" xr3:uid="{D4DADC95-C664-424A-9CE0-EB17A63DDDE2}" name="P/VPA" dataDxfId="20">
      <calculatedColumnFormula>RawData[[#This Row],[P/VPA]]/SUM(RawData[P/VPA])</calculatedColumnFormula>
    </tableColumn>
    <tableColumn id="15" xr3:uid="{017B0B73-9632-44EA-9582-C389B18E2B2A}" name="Quantidade Ativos" dataDxfId="19">
      <calculatedColumnFormula>RawData[[#This Row],[Quantidade Ativos]]/SUM(RawData[Quantidade Ativos])</calculatedColumnFormula>
    </tableColumn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4D63845-7F88-4483-9D80-23BA279026D9}" name="ExportTb" displayName="ExportTb" ref="A1:Q2" totalsRowShown="0" headerRowDxfId="18" dataDxfId="17">
  <autoFilter ref="A1:Q2" xr:uid="{84D63845-7F88-4483-9D80-23BA279026D9}"/>
  <tableColumns count="17">
    <tableColumn id="1" xr3:uid="{63A8F318-6616-4C30-A96B-970F1CEE1356}" name="Ticker" dataDxfId="16">
      <calculatedColumnFormula>RawData[[#This Row],[Ticker]]</calculatedColumnFormula>
    </tableColumn>
    <tableColumn id="2" xr3:uid="{75E5382C-7C81-4EB4-9C25-2B1C001C686D}" name="Liquidez Diária" dataDxfId="15">
      <calculatedColumnFormula>RawData[[#This Row],[Liquidez Diária]]</calculatedColumnFormula>
    </tableColumn>
    <tableColumn id="3" xr3:uid="{DACC40F7-3D20-44B5-9C42-7E0E5A1DE45D}" name="Dividendo" dataDxfId="14">
      <calculatedColumnFormula>RawData[[#This Row],[Dividendo]]</calculatedColumnFormula>
    </tableColumn>
    <tableColumn id="4" xr3:uid="{BB1D603B-C728-496A-B05F-E08AF94B15D4}" name="Dividend Yield" dataDxfId="13">
      <calculatedColumnFormula>RawData[[#This Row],[Dividend Yield]]</calculatedColumnFormula>
    </tableColumn>
    <tableColumn id="5" xr3:uid="{6E184638-E40B-4DD9-B066-2E971FC2AAF6}" name="DY (3M) Acumulado" dataDxfId="12">
      <calculatedColumnFormula>RawData[[#This Row],[DY (3M) Acumulado]]</calculatedColumnFormula>
    </tableColumn>
    <tableColumn id="6" xr3:uid="{0AEB0F51-71D9-4C33-B594-3AC799A001C2}" name="DY (6M) Acumulado" dataDxfId="11">
      <calculatedColumnFormula>RawData[[#This Row],[DY (6M) Acumulado]]</calculatedColumnFormula>
    </tableColumn>
    <tableColumn id="7" xr3:uid="{3B8FDD9A-9665-40C0-9960-7DEB6F103552}" name="DY (12M) Acumulado" dataDxfId="10">
      <calculatedColumnFormula>RawData[[#This Row],[DY (12M) Acumulado]]</calculatedColumnFormula>
    </tableColumn>
    <tableColumn id="8" xr3:uid="{9AD85E36-3899-4F39-983D-F655958491EF}" name="DY (3M) Média" dataDxfId="9">
      <calculatedColumnFormula>RawData[[#This Row],[DY (3M) Média]]</calculatedColumnFormula>
    </tableColumn>
    <tableColumn id="9" xr3:uid="{26A913D4-B467-47EC-8C45-34CCF05F2B8D}" name="DY (6M) Média" dataDxfId="8">
      <calculatedColumnFormula>RawData[[#This Row],[DY (6M) Média]]</calculatedColumnFormula>
    </tableColumn>
    <tableColumn id="10" xr3:uid="{A2B64DBB-9A86-4822-ABB9-360C2AE6CBAD}" name="DY (12M) Média" dataDxfId="7">
      <calculatedColumnFormula>RawData[[#This Row],[DY (12M) Média]]</calculatedColumnFormula>
    </tableColumn>
    <tableColumn id="11" xr3:uid="{F8A5C202-60B9-4BAA-91D0-8C28CBF8788F}" name="DY Ano" dataDxfId="6">
      <calculatedColumnFormula>RawData[[#This Row],[DY Ano]]</calculatedColumnFormula>
    </tableColumn>
    <tableColumn id="12" xr3:uid="{3E3561A2-AE38-4864-9DE1-F9A13DEF77CA}" name="Rentab. Acumulada" dataDxfId="5">
      <calculatedColumnFormula>RawData[[#This Row],[Rentab. Acumulada]]</calculatedColumnFormula>
    </tableColumn>
    <tableColumn id="13" xr3:uid="{89C9FAAB-59CB-4A7A-8C81-C51109894AED}" name="Patrimônio Líq." dataDxfId="4">
      <calculatedColumnFormula>RawData[[#This Row],[Patrimônio Líq.]]</calculatedColumnFormula>
    </tableColumn>
    <tableColumn id="14" xr3:uid="{8BED7822-8D6F-4489-B878-07E5AB573284}" name="P/VPA" dataDxfId="3">
      <calculatedColumnFormula>RawData[[#This Row],[P/VPA]]</calculatedColumnFormula>
    </tableColumn>
    <tableColumn id="15" xr3:uid="{6115A3AC-C664-49BD-8393-3E909E30BC93}" name="Quantidade Ativos" dataDxfId="2">
      <calculatedColumnFormula>RawData[[#This Row],[Quantidade Ativos]]</calculatedColumnFormula>
    </tableColumn>
    <tableColumn id="20" xr3:uid="{237011AC-2ECD-4816-B1D9-73520F8D33FB}" name="AHP-G" dataDxfId="1">
      <calculatedColumnFormula>SUMPRODUCT(NormalData[[#This Row],[Liquidez Diária]:[Quantidade Ativos]],AHPG_Table!$B$5:$O$5)</calculatedColumnFormula>
    </tableColumn>
    <tableColumn id="21" xr3:uid="{DF0FC119-E18E-4E38-80DF-ADBCA775CEBF}" name="RANK" dataDxfId="0">
      <calculatedColumnFormula>RANK(#REF!,#REF!)</calculatedColumnFormula>
    </tableColumn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F6B248-3983-4EB6-B7C6-4F44BD521D06}">
  <sheetPr codeName="Sheet1"/>
  <dimension ref="A1:R2"/>
  <sheetViews>
    <sheetView showGridLines="0" tabSelected="1" topLeftCell="F1" workbookViewId="0">
      <selection activeCell="M11" sqref="M11"/>
    </sheetView>
  </sheetViews>
  <sheetFormatPr defaultColWidth="7.77734375" defaultRowHeight="14.4" x14ac:dyDescent="0.3"/>
  <cols>
    <col min="1" max="1" width="8.21875" bestFit="1" customWidth="1"/>
    <col min="2" max="2" width="15.44140625" bestFit="1" customWidth="1"/>
    <col min="3" max="3" width="11.77734375" bestFit="1" customWidth="1"/>
    <col min="4" max="4" width="15.109375" bestFit="1" customWidth="1"/>
    <col min="5" max="6" width="20.33203125" bestFit="1" customWidth="1"/>
    <col min="7" max="7" width="21.33203125" bestFit="1" customWidth="1"/>
    <col min="8" max="9" width="15.88671875" bestFit="1" customWidth="1"/>
    <col min="10" max="10" width="16.88671875" bestFit="1" customWidth="1"/>
    <col min="11" max="11" width="9.33203125" bestFit="1" customWidth="1"/>
    <col min="12" max="12" width="20" bestFit="1" customWidth="1"/>
    <col min="13" max="13" width="16.109375" bestFit="1" customWidth="1"/>
    <col min="14" max="14" width="8.77734375" bestFit="1" customWidth="1"/>
    <col min="15" max="15" width="18.88671875" bestFit="1" customWidth="1"/>
    <col min="17" max="17" width="10.6640625" bestFit="1" customWidth="1"/>
    <col min="18" max="18" width="5.77734375" customWidth="1"/>
  </cols>
  <sheetData>
    <row r="1" spans="1:18" x14ac:dyDescent="0.3">
      <c r="A1" t="s">
        <v>0</v>
      </c>
      <c r="B1" t="s">
        <v>4</v>
      </c>
      <c r="C1" t="s">
        <v>2</v>
      </c>
      <c r="D1" t="s">
        <v>11</v>
      </c>
      <c r="E1" t="s">
        <v>12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  <c r="K1" t="s">
        <v>3</v>
      </c>
      <c r="L1" t="s">
        <v>18</v>
      </c>
      <c r="M1" t="s">
        <v>19</v>
      </c>
      <c r="N1" t="s">
        <v>1</v>
      </c>
      <c r="O1" t="s">
        <v>20</v>
      </c>
      <c r="Q1" s="18" t="s">
        <v>22</v>
      </c>
      <c r="R1">
        <f>COUNTA(RawData[#Headers])</f>
        <v>15</v>
      </c>
    </row>
    <row r="2" spans="1:18" x14ac:dyDescent="0.3">
      <c r="A2" t="s">
        <v>5</v>
      </c>
      <c r="B2">
        <v>6716</v>
      </c>
      <c r="C2">
        <v>1.05</v>
      </c>
      <c r="D2">
        <v>1.12E-2</v>
      </c>
      <c r="E2">
        <v>3.1600000000000003E-2</v>
      </c>
      <c r="F2">
        <v>6.3700000000000007E-2</v>
      </c>
      <c r="G2">
        <v>0.1439</v>
      </c>
      <c r="H2">
        <v>1.0500000000000001E-2</v>
      </c>
      <c r="I2">
        <v>1.06E-2</v>
      </c>
      <c r="J2">
        <v>1.2E-2</v>
      </c>
      <c r="K2">
        <v>1.12E-2</v>
      </c>
      <c r="L2">
        <v>1.12E-2</v>
      </c>
      <c r="M2">
        <v>286309475.81999999</v>
      </c>
      <c r="N2">
        <v>0.99</v>
      </c>
      <c r="O2">
        <v>0</v>
      </c>
      <c r="Q2" s="18" t="s">
        <v>23</v>
      </c>
      <c r="R2">
        <f>COUNTA(RawData[Ticker])</f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Inicio">
                <anchor moveWithCells="1" sizeWithCells="1">
                  <from>
                    <xdr:col>18</xdr:col>
                    <xdr:colOff>91440</xdr:colOff>
                    <xdr:row>0</xdr:row>
                    <xdr:rowOff>99060</xdr:rowOff>
                  </from>
                  <to>
                    <xdr:col>19</xdr:col>
                    <xdr:colOff>281940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D780C6-CB4F-42D0-862F-61CB8D464A33}">
  <sheetPr codeName="Sheet2"/>
  <dimension ref="A1:O2"/>
  <sheetViews>
    <sheetView showGridLines="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H11" sqref="H11"/>
    </sheetView>
  </sheetViews>
  <sheetFormatPr defaultColWidth="9.33203125" defaultRowHeight="14.4" x14ac:dyDescent="0.3"/>
  <cols>
    <col min="2" max="15" width="9.33203125" style="2"/>
  </cols>
  <sheetData>
    <row r="1" spans="1:15" x14ac:dyDescent="0.3">
      <c r="A1" s="3" t="s">
        <v>0</v>
      </c>
      <c r="B1" s="4" t="s">
        <v>4</v>
      </c>
      <c r="C1" s="4" t="s">
        <v>2</v>
      </c>
      <c r="D1" s="4" t="s">
        <v>11</v>
      </c>
      <c r="E1" s="4" t="s">
        <v>12</v>
      </c>
      <c r="F1" s="4" t="s">
        <v>13</v>
      </c>
      <c r="G1" s="4" t="s">
        <v>14</v>
      </c>
      <c r="H1" s="4" t="s">
        <v>15</v>
      </c>
      <c r="I1" s="4" t="s">
        <v>16</v>
      </c>
      <c r="J1" s="4" t="s">
        <v>17</v>
      </c>
      <c r="K1" s="4" t="s">
        <v>3</v>
      </c>
      <c r="L1" s="4" t="s">
        <v>18</v>
      </c>
      <c r="M1" s="4" t="s">
        <v>19</v>
      </c>
      <c r="N1" s="4" t="s">
        <v>1</v>
      </c>
      <c r="O1" s="5" t="s">
        <v>20</v>
      </c>
    </row>
    <row r="2" spans="1:15" x14ac:dyDescent="0.3">
      <c r="A2" t="str">
        <f>RawData[[#This Row],[Ticker]]</f>
        <v>AFHI11</v>
      </c>
      <c r="B2" s="2">
        <f>RawData[[#This Row],[Liquidez Diária]]/SUM(RawData[Liquidez Diária])</f>
        <v>1</v>
      </c>
      <c r="C2" s="2">
        <f>RawData[[#This Row],[Dividendo]]/SUM(RawData[Dividendo])</f>
        <v>1</v>
      </c>
      <c r="D2" s="2">
        <f>RawData[[#This Row],[Dividend Yield]]/SUM(RawData[Dividend Yield])</f>
        <v>1</v>
      </c>
      <c r="E2" s="2">
        <f>RawData[[#This Row],[DY (3M) Acumulado]]/SUM(RawData[DY (3M) Acumulado])</f>
        <v>1</v>
      </c>
      <c r="F2" s="2">
        <f>RawData[[#This Row],[DY (6M) Acumulado]]/SUM(RawData[DY (6M) Acumulado])</f>
        <v>1</v>
      </c>
      <c r="G2" s="2">
        <f>RawData[[#This Row],[DY (12M) Acumulado]]/SUM(RawData[DY (12M) Acumulado])</f>
        <v>1</v>
      </c>
      <c r="H2" s="2">
        <f>RawData[[#This Row],[DY (3M) Média]]/SUM(RawData[DY (3M) Média])</f>
        <v>1</v>
      </c>
      <c r="I2" s="2">
        <f>RawData[[#This Row],[DY (6M) Média]]/SUM(RawData[DY (6M) Média])</f>
        <v>1</v>
      </c>
      <c r="J2" s="2">
        <f>RawData[[#This Row],[DY (12M) Média]]/SUM(RawData[DY (12M) Média])</f>
        <v>1</v>
      </c>
      <c r="K2" s="2">
        <f>RawData[[#This Row],[DY Ano]]/SUM(RawData[DY Ano])</f>
        <v>1</v>
      </c>
      <c r="L2" s="2">
        <f>RawData[[#This Row],[Rentab. Acumulada]]/SUM(RawData[Rentab. Acumulada])</f>
        <v>1</v>
      </c>
      <c r="M2" s="2">
        <f>RawData[[#This Row],[Patrimônio Líq.]]/SUM(RawData[Patrimônio Líq.])</f>
        <v>1</v>
      </c>
      <c r="N2" s="2">
        <f>RawData[[#This Row],[P/VPA]]/SUM(RawData[P/VPA])</f>
        <v>1</v>
      </c>
      <c r="O2" s="2" t="e">
        <f>RawData[[#This Row],[Quantidade Ativos]]/SUM(RawData[Quantidade Ativos])</f>
        <v>#DIV/0!</v>
      </c>
    </row>
  </sheetData>
  <phoneticPr fontId="3" type="noConversion"/>
  <pageMargins left="0.7" right="0.7" top="0.75" bottom="0.75" header="0.3" footer="0.3"/>
  <pageSetup paperSize="9" orientation="portrait" horizontalDpi="4294967292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B4F6-86DB-4A7B-BF47-93425273634A}">
  <sheetPr codeName="Sheet3"/>
  <dimension ref="A1:Q2"/>
  <sheetViews>
    <sheetView showGridLines="0" workbookViewId="0">
      <selection activeCell="M20" sqref="M20"/>
    </sheetView>
  </sheetViews>
  <sheetFormatPr defaultColWidth="7" defaultRowHeight="14.4" x14ac:dyDescent="0.3"/>
  <cols>
    <col min="2" max="16" width="8.109375" style="1" customWidth="1"/>
    <col min="17" max="17" width="8.109375" style="12" customWidth="1"/>
  </cols>
  <sheetData>
    <row r="1" spans="1:17" x14ac:dyDescent="0.3">
      <c r="A1" s="14" t="s">
        <v>0</v>
      </c>
      <c r="B1" s="15" t="s">
        <v>4</v>
      </c>
      <c r="C1" s="15" t="s">
        <v>2</v>
      </c>
      <c r="D1" s="15" t="s">
        <v>11</v>
      </c>
      <c r="E1" s="15" t="s">
        <v>12</v>
      </c>
      <c r="F1" s="15" t="s">
        <v>13</v>
      </c>
      <c r="G1" s="15" t="s">
        <v>14</v>
      </c>
      <c r="H1" s="15" t="s">
        <v>15</v>
      </c>
      <c r="I1" s="15" t="s">
        <v>16</v>
      </c>
      <c r="J1" s="15" t="s">
        <v>17</v>
      </c>
      <c r="K1" s="15" t="s">
        <v>3</v>
      </c>
      <c r="L1" s="15" t="s">
        <v>18</v>
      </c>
      <c r="M1" s="15" t="s">
        <v>19</v>
      </c>
      <c r="N1" s="15" t="s">
        <v>1</v>
      </c>
      <c r="O1" s="16" t="s">
        <v>20</v>
      </c>
      <c r="P1" s="13" t="s">
        <v>6</v>
      </c>
      <c r="Q1" s="17" t="s">
        <v>7</v>
      </c>
    </row>
    <row r="2" spans="1:17" x14ac:dyDescent="0.3">
      <c r="A2" t="str">
        <f>RawData[[#This Row],[Ticker]]</f>
        <v>AFHI11</v>
      </c>
      <c r="B2" s="1">
        <f>RawData[[#This Row],[Liquidez Diária]]</f>
        <v>6716</v>
      </c>
      <c r="C2" s="1">
        <f>RawData[[#This Row],[Dividendo]]</f>
        <v>1.05</v>
      </c>
      <c r="D2" s="1">
        <f>RawData[[#This Row],[Dividend Yield]]</f>
        <v>1.12E-2</v>
      </c>
      <c r="E2" s="1">
        <f>RawData[[#This Row],[DY (3M) Acumulado]]</f>
        <v>3.1600000000000003E-2</v>
      </c>
      <c r="F2" s="1">
        <f>RawData[[#This Row],[DY (6M) Acumulado]]</f>
        <v>6.3700000000000007E-2</v>
      </c>
      <c r="G2" s="1">
        <f>RawData[[#This Row],[DY (12M) Acumulado]]</f>
        <v>0.1439</v>
      </c>
      <c r="H2" s="1">
        <f>RawData[[#This Row],[DY (3M) Média]]</f>
        <v>1.0500000000000001E-2</v>
      </c>
      <c r="I2" s="1">
        <f>RawData[[#This Row],[DY (6M) Média]]</f>
        <v>1.06E-2</v>
      </c>
      <c r="J2" s="1">
        <f>RawData[[#This Row],[DY (12M) Média]]</f>
        <v>1.2E-2</v>
      </c>
      <c r="K2" s="1">
        <f>RawData[[#This Row],[DY Ano]]</f>
        <v>1.12E-2</v>
      </c>
      <c r="L2" s="1">
        <f>RawData[[#This Row],[Rentab. Acumulada]]</f>
        <v>1.12E-2</v>
      </c>
      <c r="M2" s="1">
        <f>RawData[[#This Row],[Patrimônio Líq.]]</f>
        <v>286309475.81999999</v>
      </c>
      <c r="N2" s="1">
        <f>RawData[[#This Row],[P/VPA]]</f>
        <v>0.99</v>
      </c>
      <c r="O2" s="1">
        <f>RawData[[#This Row],[Quantidade Ativos]]</f>
        <v>0</v>
      </c>
      <c r="P2" s="1" t="e">
        <f>SUMPRODUCT(NormalData[[#This Row],[Liquidez Diária]:[Quantidade Ativos]],AHPG_Table!$B$5:$O$5)</f>
        <v>#DIV/0!</v>
      </c>
      <c r="Q2" s="12" t="e">
        <f>RANK(ExportTb[[#This Row],[AHP-G]],ExportTb[AHP-G])</f>
        <v>#DIV/0!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B014E-233B-4551-9C01-9C7F530BA568}">
  <sheetPr codeName="Sheet6"/>
  <dimension ref="A1:O5"/>
  <sheetViews>
    <sheetView workbookViewId="0">
      <selection activeCell="L13" sqref="L13"/>
    </sheetView>
  </sheetViews>
  <sheetFormatPr defaultRowHeight="14.4" x14ac:dyDescent="0.3"/>
  <cols>
    <col min="1" max="1" width="14.44140625" style="10" bestFit="1" customWidth="1"/>
    <col min="2" max="15" width="7.109375" style="11" customWidth="1"/>
    <col min="16" max="16384" width="8.88671875" style="10"/>
  </cols>
  <sheetData>
    <row r="1" spans="1:15" x14ac:dyDescent="0.3">
      <c r="A1" s="6" t="s">
        <v>0</v>
      </c>
      <c r="B1" s="8" t="s">
        <v>4</v>
      </c>
      <c r="C1" s="8" t="s">
        <v>2</v>
      </c>
      <c r="D1" s="8" t="s">
        <v>11</v>
      </c>
      <c r="E1" s="8" t="s">
        <v>12</v>
      </c>
      <c r="F1" s="8" t="s">
        <v>13</v>
      </c>
      <c r="G1" s="8" t="s">
        <v>14</v>
      </c>
      <c r="H1" s="8" t="s">
        <v>15</v>
      </c>
      <c r="I1" s="8" t="s">
        <v>16</v>
      </c>
      <c r="J1" s="8" t="s">
        <v>17</v>
      </c>
      <c r="K1" s="8" t="s">
        <v>3</v>
      </c>
      <c r="L1" s="8" t="s">
        <v>18</v>
      </c>
      <c r="M1" s="8" t="s">
        <v>19</v>
      </c>
      <c r="N1" s="8" t="s">
        <v>1</v>
      </c>
      <c r="O1" s="9" t="s">
        <v>20</v>
      </c>
    </row>
    <row r="2" spans="1:15" x14ac:dyDescent="0.3">
      <c r="A2" s="7" t="s">
        <v>8</v>
      </c>
      <c r="B2" s="11">
        <f>AVERAGE(NormalData[Liquidez Diária])</f>
        <v>1</v>
      </c>
      <c r="C2" s="11">
        <f>AVERAGE(NormalData[Dividendo])</f>
        <v>1</v>
      </c>
      <c r="D2" s="11">
        <f>AVERAGE(NormalData[Dividend Yield])</f>
        <v>1</v>
      </c>
      <c r="E2" s="11">
        <f>AVERAGE(NormalData[DY (3M) Acumulado])</f>
        <v>1</v>
      </c>
      <c r="F2" s="11">
        <f>AVERAGE(NormalData[DY (6M) Acumulado])</f>
        <v>1</v>
      </c>
      <c r="G2" s="11">
        <f>AVERAGE(NormalData[DY (12M) Acumulado])</f>
        <v>1</v>
      </c>
      <c r="H2" s="11">
        <f>AVERAGE(NormalData[DY (3M) Média])</f>
        <v>1</v>
      </c>
      <c r="I2" s="11">
        <f>AVERAGE(NormalData[DY (6M) Média])</f>
        <v>1</v>
      </c>
      <c r="J2" s="11">
        <f>AVERAGE(NormalData[DY (12M) Média])</f>
        <v>1</v>
      </c>
      <c r="K2" s="11">
        <f>AVERAGE(NormalData[DY Ano])</f>
        <v>1</v>
      </c>
      <c r="L2" s="11">
        <f>AVERAGE(NormalData[Rentab. Acumulada])</f>
        <v>1</v>
      </c>
      <c r="M2" s="11">
        <f>AVERAGE(NormalData[Patrimônio Líq.])</f>
        <v>1</v>
      </c>
      <c r="N2" s="11">
        <f>AVERAGE(NormalData[P/VPA])</f>
        <v>1</v>
      </c>
      <c r="O2" s="11" t="e">
        <f>AVERAGE(NormalData[Quantidade Ativos])</f>
        <v>#DIV/0!</v>
      </c>
    </row>
    <row r="3" spans="1:15" x14ac:dyDescent="0.3">
      <c r="A3" s="7" t="s">
        <v>9</v>
      </c>
      <c r="B3" s="11">
        <f>_xlfn.STDEV.P(NormalData[Liquidez Diária])</f>
        <v>0</v>
      </c>
      <c r="C3" s="11">
        <f>_xlfn.STDEV.P(NormalData[Dividendo])</f>
        <v>0</v>
      </c>
      <c r="D3" s="11">
        <f>_xlfn.STDEV.P(NormalData[Dividend Yield])</f>
        <v>0</v>
      </c>
      <c r="E3" s="11">
        <f>_xlfn.STDEV.P(NormalData[DY (3M) Acumulado])</f>
        <v>0</v>
      </c>
      <c r="F3" s="11">
        <f>_xlfn.STDEV.P(NormalData[DY (6M) Acumulado])</f>
        <v>0</v>
      </c>
      <c r="G3" s="11">
        <f>_xlfn.STDEV.P(NormalData[DY (12M) Acumulado])</f>
        <v>0</v>
      </c>
      <c r="H3" s="11">
        <f>_xlfn.STDEV.P(NormalData[DY (3M) Média])</f>
        <v>0</v>
      </c>
      <c r="I3" s="11">
        <f>_xlfn.STDEV.P(NormalData[DY (6M) Média])</f>
        <v>0</v>
      </c>
      <c r="J3" s="11">
        <f>_xlfn.STDEV.P(NormalData[DY (12M) Média])</f>
        <v>0</v>
      </c>
      <c r="K3" s="11">
        <f>_xlfn.STDEV.P(NormalData[DY Ano])</f>
        <v>0</v>
      </c>
      <c r="L3" s="11">
        <f>_xlfn.STDEV.P(NormalData[Rentab. Acumulada])</f>
        <v>0</v>
      </c>
      <c r="M3" s="11">
        <f>_xlfn.STDEV.P(NormalData[Patrimônio Líq.])</f>
        <v>0</v>
      </c>
      <c r="N3" s="11">
        <f>_xlfn.STDEV.P(NormalData[P/VPA])</f>
        <v>0</v>
      </c>
      <c r="O3" s="11" t="e">
        <f>_xlfn.STDEV.P(NormalData[Quantidade Ativos])</f>
        <v>#DIV/0!</v>
      </c>
    </row>
    <row r="4" spans="1:15" ht="30" customHeight="1" x14ac:dyDescent="0.3">
      <c r="A4" s="7" t="s">
        <v>10</v>
      </c>
      <c r="B4" s="11">
        <f>B3/B2</f>
        <v>0</v>
      </c>
      <c r="C4" s="11">
        <f t="shared" ref="C4:O4" si="0">C3/C2</f>
        <v>0</v>
      </c>
      <c r="D4" s="11">
        <f t="shared" si="0"/>
        <v>0</v>
      </c>
      <c r="E4" s="11">
        <f t="shared" si="0"/>
        <v>0</v>
      </c>
      <c r="F4" s="11">
        <f t="shared" si="0"/>
        <v>0</v>
      </c>
      <c r="G4" s="11">
        <f t="shared" si="0"/>
        <v>0</v>
      </c>
      <c r="H4" s="11">
        <f t="shared" si="0"/>
        <v>0</v>
      </c>
      <c r="I4" s="11">
        <f t="shared" si="0"/>
        <v>0</v>
      </c>
      <c r="J4" s="11">
        <f t="shared" si="0"/>
        <v>0</v>
      </c>
      <c r="K4" s="11">
        <f t="shared" si="0"/>
        <v>0</v>
      </c>
      <c r="L4" s="11">
        <f t="shared" si="0"/>
        <v>0</v>
      </c>
      <c r="M4" s="11">
        <f t="shared" si="0"/>
        <v>0</v>
      </c>
      <c r="N4" s="11">
        <f t="shared" si="0"/>
        <v>0</v>
      </c>
      <c r="O4" s="11" t="e">
        <f t="shared" si="0"/>
        <v>#DIV/0!</v>
      </c>
    </row>
    <row r="5" spans="1:15" ht="28.8" x14ac:dyDescent="0.3">
      <c r="A5" s="7" t="s">
        <v>21</v>
      </c>
      <c r="B5" s="11" t="e">
        <f>B4/SUM($B$4:$O$4)</f>
        <v>#DIV/0!</v>
      </c>
      <c r="C5" s="11" t="e">
        <f t="shared" ref="C5:O5" si="1">C4/SUM($B$4:$O$4)</f>
        <v>#DIV/0!</v>
      </c>
      <c r="D5" s="11" t="e">
        <f t="shared" si="1"/>
        <v>#DIV/0!</v>
      </c>
      <c r="E5" s="11" t="e">
        <f t="shared" si="1"/>
        <v>#DIV/0!</v>
      </c>
      <c r="F5" s="11" t="e">
        <f t="shared" si="1"/>
        <v>#DIV/0!</v>
      </c>
      <c r="G5" s="11" t="e">
        <f t="shared" si="1"/>
        <v>#DIV/0!</v>
      </c>
      <c r="H5" s="11" t="e">
        <f t="shared" si="1"/>
        <v>#DIV/0!</v>
      </c>
      <c r="I5" s="11" t="e">
        <f t="shared" si="1"/>
        <v>#DIV/0!</v>
      </c>
      <c r="J5" s="11" t="e">
        <f t="shared" si="1"/>
        <v>#DIV/0!</v>
      </c>
      <c r="K5" s="11" t="e">
        <f t="shared" si="1"/>
        <v>#DIV/0!</v>
      </c>
      <c r="L5" s="11" t="e">
        <f t="shared" si="1"/>
        <v>#DIV/0!</v>
      </c>
      <c r="M5" s="11" t="e">
        <f t="shared" si="1"/>
        <v>#DIV/0!</v>
      </c>
      <c r="N5" s="11" t="e">
        <f t="shared" si="1"/>
        <v>#DIV/0!</v>
      </c>
      <c r="O5" s="11" t="e">
        <f t="shared" si="1"/>
        <v>#DIV/0!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AB79FE9-3A8B-46B0-8EB4-E1FF3F3AFF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RawData</vt:lpstr>
      <vt:lpstr>NormalMatriz</vt:lpstr>
      <vt:lpstr>Export</vt:lpstr>
      <vt:lpstr>AHPG_Table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Marcelo de Souza Moraes</dc:creator>
  <cp:lastModifiedBy>Marcelo de Souza Moraes</cp:lastModifiedBy>
  <dcterms:created xsi:type="dcterms:W3CDTF">2023-02-22T00:51:18Z</dcterms:created>
  <dcterms:modified xsi:type="dcterms:W3CDTF">2023-04-17T22:33:07Z</dcterms:modified>
</cp:coreProperties>
</file>